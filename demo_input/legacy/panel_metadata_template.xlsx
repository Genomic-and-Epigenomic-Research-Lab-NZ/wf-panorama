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agouni-my.sharepoint.com/personal/dejlu44p_registry_otago_ac_nz/Documents/Documents/"/>
    </mc:Choice>
  </mc:AlternateContent>
  <xr:revisionPtr revIDLastSave="27" documentId="8_{D85D0D0F-313D-E845-9DC6-873DE9E2AD41}" xr6:coauthVersionLast="47" xr6:coauthVersionMax="47" xr10:uidLastSave="{9CDC3D82-800E-BC46-8E26-19B9FCE54F84}"/>
  <bookViews>
    <workbookView xWindow="37560" yWindow="4120" windowWidth="29660" windowHeight="24680" xr2:uid="{27C1B2C8-B88E-5D4B-9243-74E46D1E30B7}"/>
  </bookViews>
  <sheets>
    <sheet name="Metadata" sheetId="1" r:id="rId1"/>
  </sheets>
  <definedNames>
    <definedName name="_xlnm._FilterDatabase" localSheetId="0" hidden="1">Metadata!$A$1:$T$19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/>
</calcChain>
</file>

<file path=xl/sharedStrings.xml><?xml version="1.0" encoding="utf-8"?>
<sst xmlns="http://schemas.openxmlformats.org/spreadsheetml/2006/main" count="146" uniqueCount="80">
  <si>
    <t>ID</t>
  </si>
  <si>
    <t>Is this record the whole gene?</t>
  </si>
  <si>
    <t>Is variant in coding region?</t>
  </si>
  <si>
    <t>SNP ID</t>
  </si>
  <si>
    <t>Illumina EPIC ID</t>
  </si>
  <si>
    <t>Notes</t>
  </si>
  <si>
    <t>Ref</t>
  </si>
  <si>
    <t>chrom</t>
  </si>
  <si>
    <t>start pos</t>
  </si>
  <si>
    <t>end pos</t>
  </si>
  <si>
    <t>length</t>
  </si>
  <si>
    <t>strand</t>
  </si>
  <si>
    <t>001</t>
  </si>
  <si>
    <t>ATG2B</t>
  </si>
  <si>
    <t>No</t>
  </si>
  <si>
    <t>Yes</t>
  </si>
  <si>
    <t>rs3759601</t>
  </si>
  <si>
    <t>Buffen, K. et al. Autophagy Controls BCG-Induced Trained Immunity and the Response to Intravesical BCG Therapy for Bladder Cancer. PLoS Pathog 10, e1004485 (2014).;Zang, Z. et al. Polymorphism in autophagy gene ATG2B is not associated with bladder cancer recurrence after intravesical Bacillus Calmette-Guerin (BCG) immunotherapy in Asian patients. Urol Oncol 39, 238.e1-238.e7 (2021).</t>
  </si>
  <si>
    <t>chr14</t>
  </si>
  <si>
    <t>-</t>
  </si>
  <si>
    <t>501</t>
  </si>
  <si>
    <t>age</t>
  </si>
  <si>
    <t>demographic</t>
  </si>
  <si>
    <t>sex</t>
  </si>
  <si>
    <t>502</t>
  </si>
  <si>
    <t>ethnicity</t>
  </si>
  <si>
    <t>503</t>
  </si>
  <si>
    <t>clinicopathology</t>
  </si>
  <si>
    <t>grade</t>
  </si>
  <si>
    <t>504</t>
  </si>
  <si>
    <t>Panel or Area of Interest?</t>
  </si>
  <si>
    <t>Panel</t>
  </si>
  <si>
    <t>DNA methylation region</t>
  </si>
  <si>
    <t>Scoring Type</t>
  </si>
  <si>
    <t>continuous</t>
  </si>
  <si>
    <t>G|G/G|C/C|C</t>
  </si>
  <si>
    <t>categorical</t>
  </si>
  <si>
    <t>401</t>
  </si>
  <si>
    <t>LMR</t>
  </si>
  <si>
    <t>402</t>
  </si>
  <si>
    <t>NLR</t>
  </si>
  <si>
    <t>immune_ratio</t>
  </si>
  <si>
    <t>0.0-10.0</t>
  </si>
  <si>
    <t>403</t>
  </si>
  <si>
    <t>405</t>
  </si>
  <si>
    <t>406</t>
  </si>
  <si>
    <t>407</t>
  </si>
  <si>
    <t>408</t>
  </si>
  <si>
    <t>monocyte_inf</t>
  </si>
  <si>
    <t>Bcell_inf</t>
  </si>
  <si>
    <t>CD4_inf</t>
  </si>
  <si>
    <t>NK_inf</t>
  </si>
  <si>
    <t>CD8_inf</t>
  </si>
  <si>
    <t>Treg_inf</t>
  </si>
  <si>
    <t>Endothelial_inf</t>
  </si>
  <si>
    <t>Eosinophil_inf</t>
  </si>
  <si>
    <t>Neutrophil_inf</t>
  </si>
  <si>
    <t>Fibroblast_inf</t>
  </si>
  <si>
    <t>Cancer_inf</t>
  </si>
  <si>
    <t>immune_inf</t>
  </si>
  <si>
    <t>409</t>
  </si>
  <si>
    <t>410</t>
  </si>
  <si>
    <t>411</t>
  </si>
  <si>
    <t>412</t>
  </si>
  <si>
    <t>413</t>
  </si>
  <si>
    <t>414</t>
  </si>
  <si>
    <t>0.0-1.0</t>
  </si>
  <si>
    <t>0.0-150.0</t>
  </si>
  <si>
    <t>M/F/O</t>
  </si>
  <si>
    <t>Expression Ratio Components</t>
  </si>
  <si>
    <t>Result</t>
  </si>
  <si>
    <t>Biomarker name</t>
  </si>
  <si>
    <t>Result Options</t>
  </si>
  <si>
    <t>genotypic</t>
  </si>
  <si>
    <t>Biomarker Type (snv, sv, mod, area_mutations, expression, exp_ratio, immune_ratio, immune_inf, microsatellite, demographic, clinicopathology)</t>
  </si>
  <si>
    <t>snv</t>
  </si>
  <si>
    <t>Wan, L., Wu, C., Luo, S. &amp; Xie, X. Prognostic Value of Lymphocyte-to-Monocyte Ratio (LMR) in Cancer Patients Undergoing Immune Checkpoint Inhibitors. Dis Markers 2022, 3610038 (2022).</t>
  </si>
  <si>
    <t>Castaneda, P. R., Theodorescu, D., Rosser, C. J. &amp; Ahdoot, M. Identifying novel biomarkers associated with bladder cancer treatment outcomes. Front. Oncol. 13, 1114203 (2023); Ziani, I. et al. Role of preoperative neutrophil to lymphocyte ratio in prediction of recurrence, progression, and BCG failure in non-muscle invasive bladder cancer: a retrospective study. Pan Afr Med J 44, 145 (2023).</t>
  </si>
  <si>
    <t>Chen, J.-Q. et al. Immune profiles and DNA methylation alterations related with non-muscle-invasive bladder cancer outcomes. Clin Epigenet 14, 14 (2022); Koti, M. &amp; Robert Siemens, D. A Step Closer to Predicting Progression After Bacillus Calmette-Guérin Immunotherapy in High-risk Non–muscle-invasive Bladder Cancer. European Urology 84, 447–448 (2023).</t>
  </si>
  <si>
    <t>REMOVE THIS EXAMPLE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</si>
</sst>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49" fontId="0" fillId="0" borderId="0" xfId="0" applyNumberFormat="1"/>
    <xf numFmtId="0" fontId="0" fillId="0" borderId="0" xfId="0" applyAlignment="1">
      <alignment horizontal="fill"/>
    </xf>
    <xf numFmtId="3" fontId="0" fillId="0" borderId="0" xfId="0" applyNumberFormat="1"/>
    <xf numFmtId="49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fill"/>
    </xf>
    <xf numFmtId="3" fontId="2" fillId="0" borderId="0" xfId="0" applyNumberFormat="1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31A7D-EC85-7446-9E5D-557A41ADD897}">
  <dimension ref="A1:T19"/>
  <sheetViews>
    <sheetView tabSelected="1" workbookViewId="0">
      <pane xSplit="1" topLeftCell="B1" activePane="topRight" state="frozen"/>
      <selection pane="topRight" activeCell="D9" sqref="D9"/>
    </sheetView>
  </sheetViews>
  <sheetFormatPr baseColWidth="10" defaultRowHeight="16" x14ac:dyDescent="0.2"/>
  <cols>
    <col min="1" max="1" width="10.83203125" style="4"/>
    <col min="2" max="2" width="16.5" customWidth="1"/>
    <col min="3" max="3" width="26.33203125" customWidth="1"/>
    <col min="4" max="13" width="16.5" customWidth="1"/>
    <col min="14" max="14" width="26.1640625" customWidth="1"/>
    <col min="15" max="15" width="40.1640625" style="5" customWidth="1"/>
    <col min="16" max="16" width="10.83203125" customWidth="1"/>
    <col min="17" max="18" width="15" style="6" customWidth="1"/>
    <col min="19" max="20" width="10.83203125" customWidth="1"/>
  </cols>
  <sheetData>
    <row r="1" spans="1:20" s="2" customFormat="1" ht="98" customHeight="1" x14ac:dyDescent="0.2">
      <c r="A1" s="1" t="s">
        <v>0</v>
      </c>
      <c r="B1" s="2" t="s">
        <v>71</v>
      </c>
      <c r="C1" s="2" t="s">
        <v>74</v>
      </c>
      <c r="D1" t="s">
        <v>30</v>
      </c>
      <c r="E1" s="2" t="s">
        <v>1</v>
      </c>
      <c r="F1" s="2" t="s">
        <v>2</v>
      </c>
      <c r="G1" s="2" t="s">
        <v>3</v>
      </c>
      <c r="H1" s="2" t="s">
        <v>72</v>
      </c>
      <c r="I1" s="2" t="s">
        <v>4</v>
      </c>
      <c r="J1" s="2" t="s">
        <v>69</v>
      </c>
      <c r="K1" s="2" t="s">
        <v>32</v>
      </c>
      <c r="L1" s="2" t="s">
        <v>33</v>
      </c>
      <c r="M1" s="2" t="s">
        <v>70</v>
      </c>
      <c r="N1" s="2" t="s">
        <v>5</v>
      </c>
      <c r="O1" s="2" t="s">
        <v>6</v>
      </c>
      <c r="P1" s="2" t="s">
        <v>7</v>
      </c>
      <c r="Q1" s="3" t="s">
        <v>8</v>
      </c>
      <c r="R1" s="3" t="s">
        <v>9</v>
      </c>
      <c r="S1" s="2" t="s">
        <v>10</v>
      </c>
      <c r="T1" s="2" t="s">
        <v>11</v>
      </c>
    </row>
    <row r="2" spans="1:20" s="8" customFormat="1" x14ac:dyDescent="0.2">
      <c r="A2" s="7" t="s">
        <v>12</v>
      </c>
      <c r="B2" s="8" t="s">
        <v>13</v>
      </c>
      <c r="C2" s="8" t="s">
        <v>75</v>
      </c>
      <c r="D2" s="8" t="s">
        <v>31</v>
      </c>
      <c r="E2" s="8" t="s">
        <v>14</v>
      </c>
      <c r="F2" s="8" t="s">
        <v>15</v>
      </c>
      <c r="G2" s="8" t="s">
        <v>16</v>
      </c>
      <c r="H2" s="8" t="s">
        <v>35</v>
      </c>
      <c r="L2" s="8" t="s">
        <v>73</v>
      </c>
      <c r="N2" s="11" t="s">
        <v>79</v>
      </c>
      <c r="O2" s="9" t="s">
        <v>17</v>
      </c>
      <c r="P2" s="8" t="s">
        <v>18</v>
      </c>
      <c r="Q2" s="10">
        <v>96311131</v>
      </c>
      <c r="R2" s="10">
        <v>96311131</v>
      </c>
      <c r="S2" s="10">
        <f>R2-Q2+1</f>
        <v>1</v>
      </c>
      <c r="T2" s="8" t="s">
        <v>19</v>
      </c>
    </row>
    <row r="3" spans="1:20" x14ac:dyDescent="0.2">
      <c r="A3" s="4" t="s">
        <v>37</v>
      </c>
      <c r="B3" t="s">
        <v>38</v>
      </c>
      <c r="C3" t="s">
        <v>41</v>
      </c>
      <c r="D3" t="s">
        <v>31</v>
      </c>
      <c r="H3" t="s">
        <v>42</v>
      </c>
      <c r="L3" t="s">
        <v>34</v>
      </c>
      <c r="O3" s="5" t="s">
        <v>76</v>
      </c>
      <c r="S3" s="6"/>
    </row>
    <row r="4" spans="1:20" x14ac:dyDescent="0.2">
      <c r="A4" s="4" t="s">
        <v>39</v>
      </c>
      <c r="B4" t="s">
        <v>40</v>
      </c>
      <c r="C4" t="s">
        <v>41</v>
      </c>
      <c r="D4" t="s">
        <v>31</v>
      </c>
      <c r="H4" t="s">
        <v>42</v>
      </c>
      <c r="L4" t="s">
        <v>34</v>
      </c>
      <c r="O4" s="5" t="s">
        <v>77</v>
      </c>
      <c r="S4" s="6"/>
    </row>
    <row r="5" spans="1:20" x14ac:dyDescent="0.2">
      <c r="A5" s="4" t="s">
        <v>43</v>
      </c>
      <c r="B5" t="s">
        <v>48</v>
      </c>
      <c r="C5" t="s">
        <v>59</v>
      </c>
      <c r="D5" t="s">
        <v>31</v>
      </c>
      <c r="H5" t="s">
        <v>66</v>
      </c>
      <c r="L5" t="s">
        <v>34</v>
      </c>
      <c r="O5" s="5" t="s">
        <v>78</v>
      </c>
    </row>
    <row r="6" spans="1:20" x14ac:dyDescent="0.2">
      <c r="A6" s="4" t="s">
        <v>44</v>
      </c>
      <c r="B6" t="s">
        <v>49</v>
      </c>
      <c r="C6" t="s">
        <v>59</v>
      </c>
      <c r="D6" t="s">
        <v>31</v>
      </c>
      <c r="H6" t="s">
        <v>66</v>
      </c>
      <c r="L6" t="s">
        <v>34</v>
      </c>
      <c r="O6" s="5" t="s">
        <v>78</v>
      </c>
    </row>
    <row r="7" spans="1:20" x14ac:dyDescent="0.2">
      <c r="A7" s="4" t="s">
        <v>45</v>
      </c>
      <c r="B7" t="s">
        <v>50</v>
      </c>
      <c r="C7" t="s">
        <v>59</v>
      </c>
      <c r="D7" t="s">
        <v>31</v>
      </c>
      <c r="H7" t="s">
        <v>66</v>
      </c>
      <c r="L7" t="s">
        <v>34</v>
      </c>
      <c r="O7" s="5" t="s">
        <v>78</v>
      </c>
    </row>
    <row r="8" spans="1:20" x14ac:dyDescent="0.2">
      <c r="A8" s="4" t="s">
        <v>46</v>
      </c>
      <c r="B8" t="s">
        <v>51</v>
      </c>
      <c r="C8" t="s">
        <v>59</v>
      </c>
      <c r="D8" t="s">
        <v>31</v>
      </c>
      <c r="H8" t="s">
        <v>66</v>
      </c>
      <c r="L8" t="s">
        <v>34</v>
      </c>
      <c r="O8" s="5" t="s">
        <v>78</v>
      </c>
    </row>
    <row r="9" spans="1:20" x14ac:dyDescent="0.2">
      <c r="A9" s="4" t="s">
        <v>47</v>
      </c>
      <c r="B9" t="s">
        <v>52</v>
      </c>
      <c r="C9" t="s">
        <v>59</v>
      </c>
      <c r="D9" t="s">
        <v>31</v>
      </c>
      <c r="H9" t="s">
        <v>66</v>
      </c>
      <c r="L9" t="s">
        <v>34</v>
      </c>
      <c r="O9" s="5" t="s">
        <v>78</v>
      </c>
    </row>
    <row r="10" spans="1:20" x14ac:dyDescent="0.2">
      <c r="A10" s="4" t="s">
        <v>60</v>
      </c>
      <c r="B10" t="s">
        <v>53</v>
      </c>
      <c r="C10" t="s">
        <v>59</v>
      </c>
      <c r="D10" t="s">
        <v>31</v>
      </c>
      <c r="H10" t="s">
        <v>66</v>
      </c>
      <c r="L10" t="s">
        <v>34</v>
      </c>
      <c r="O10" s="5" t="s">
        <v>78</v>
      </c>
    </row>
    <row r="11" spans="1:20" x14ac:dyDescent="0.2">
      <c r="A11" s="4" t="s">
        <v>61</v>
      </c>
      <c r="B11" t="s">
        <v>56</v>
      </c>
      <c r="C11" t="s">
        <v>59</v>
      </c>
      <c r="D11" t="s">
        <v>31</v>
      </c>
      <c r="H11" t="s">
        <v>66</v>
      </c>
      <c r="L11" t="s">
        <v>34</v>
      </c>
      <c r="O11" s="5" t="s">
        <v>78</v>
      </c>
    </row>
    <row r="12" spans="1:20" x14ac:dyDescent="0.2">
      <c r="A12" s="4" t="s">
        <v>62</v>
      </c>
      <c r="B12" t="s">
        <v>54</v>
      </c>
      <c r="C12" t="s">
        <v>59</v>
      </c>
      <c r="D12" t="s">
        <v>31</v>
      </c>
      <c r="H12" t="s">
        <v>66</v>
      </c>
      <c r="L12" t="s">
        <v>34</v>
      </c>
      <c r="O12" s="5" t="s">
        <v>78</v>
      </c>
    </row>
    <row r="13" spans="1:20" x14ac:dyDescent="0.2">
      <c r="A13" s="4" t="s">
        <v>63</v>
      </c>
      <c r="B13" t="s">
        <v>55</v>
      </c>
      <c r="C13" t="s">
        <v>59</v>
      </c>
      <c r="D13" t="s">
        <v>31</v>
      </c>
      <c r="H13" t="s">
        <v>66</v>
      </c>
      <c r="L13" t="s">
        <v>34</v>
      </c>
      <c r="O13" s="5" t="s">
        <v>78</v>
      </c>
    </row>
    <row r="14" spans="1:20" x14ac:dyDescent="0.2">
      <c r="A14" s="4" t="s">
        <v>64</v>
      </c>
      <c r="B14" t="s">
        <v>57</v>
      </c>
      <c r="C14" t="s">
        <v>59</v>
      </c>
      <c r="D14" t="s">
        <v>31</v>
      </c>
      <c r="H14" t="s">
        <v>66</v>
      </c>
      <c r="L14" t="s">
        <v>34</v>
      </c>
      <c r="O14" s="5" t="s">
        <v>78</v>
      </c>
    </row>
    <row r="15" spans="1:20" x14ac:dyDescent="0.2">
      <c r="A15" s="4" t="s">
        <v>65</v>
      </c>
      <c r="B15" t="s">
        <v>58</v>
      </c>
      <c r="C15" t="s">
        <v>59</v>
      </c>
      <c r="D15" t="s">
        <v>31</v>
      </c>
      <c r="H15" t="s">
        <v>66</v>
      </c>
      <c r="L15" t="s">
        <v>34</v>
      </c>
      <c r="O15" s="5" t="s">
        <v>78</v>
      </c>
    </row>
    <row r="16" spans="1:20" x14ac:dyDescent="0.2">
      <c r="A16" s="4" t="s">
        <v>20</v>
      </c>
      <c r="B16" t="s">
        <v>21</v>
      </c>
      <c r="C16" t="s">
        <v>22</v>
      </c>
      <c r="D16" t="s">
        <v>31</v>
      </c>
      <c r="H16" t="s">
        <v>67</v>
      </c>
      <c r="L16" t="s">
        <v>34</v>
      </c>
    </row>
    <row r="17" spans="1:12" x14ac:dyDescent="0.2">
      <c r="A17" s="4" t="s">
        <v>24</v>
      </c>
      <c r="B17" t="s">
        <v>23</v>
      </c>
      <c r="C17" t="s">
        <v>22</v>
      </c>
      <c r="D17" t="s">
        <v>31</v>
      </c>
      <c r="H17" t="s">
        <v>68</v>
      </c>
      <c r="L17" t="s">
        <v>36</v>
      </c>
    </row>
    <row r="18" spans="1:12" x14ac:dyDescent="0.2">
      <c r="A18" s="4" t="s">
        <v>26</v>
      </c>
      <c r="B18" t="s">
        <v>25</v>
      </c>
      <c r="C18" t="s">
        <v>22</v>
      </c>
      <c r="D18" t="s">
        <v>31</v>
      </c>
      <c r="L18" t="s">
        <v>36</v>
      </c>
    </row>
    <row r="19" spans="1:12" x14ac:dyDescent="0.2">
      <c r="A19" s="4" t="s">
        <v>29</v>
      </c>
      <c r="B19" t="s">
        <v>28</v>
      </c>
      <c r="C19" t="s">
        <v>27</v>
      </c>
      <c r="D19" t="s">
        <v>31</v>
      </c>
      <c r="L19" t="s">
        <v>36</v>
      </c>
    </row>
  </sheetData>
  <autoFilter ref="A1:T19" xr:uid="{47A31A7D-EC85-7446-9E5D-557A41ADD897}"/>
  <phoneticPr fontId="1" type="noConversion"/>
  <dataValidations count="6">
    <dataValidation type="list" allowBlank="1" showInputMessage="1" showErrorMessage="1" sqref="C1:C1048576" xr:uid="{FAA21378-58F7-AC41-AD79-57BAF0F6A2BB}">
      <formula1>"snp, sv, mod, area_mutations, expression, exp_ratio, immune_ratio, immune_inf, microsatellite, demographic, clinicopathology"</formula1>
    </dataValidation>
    <dataValidation type="list" allowBlank="1" showInputMessage="1" showErrorMessage="1" sqref="K1:K1048576" xr:uid="{301D16E8-7AD4-D74F-8DAC-93CAC64213DE}">
      <formula1>"position, promoter, intragenic, downstream"</formula1>
    </dataValidation>
    <dataValidation type="list" allowBlank="1" showInputMessage="1" showErrorMessage="1" sqref="E1:E1048576 F1:F1048576" xr:uid="{C8687CE9-AAF1-0242-AD8C-1A8A3BEAB690}">
      <formula1>"Yes, No"</formula1>
    </dataValidation>
    <dataValidation type="list" allowBlank="1" showInputMessage="1" showErrorMessage="1" sqref="D1:D1048576" xr:uid="{B3CA7FCE-3681-A944-BF1F-FFA575809A27}">
      <formula1>"Panel, AOI"</formula1>
    </dataValidation>
    <dataValidation type="list" allowBlank="1" showInputMessage="1" showErrorMessage="1" sqref="L1:L1048576" xr:uid="{D7AC46A5-1967-1343-B232-A2A75328BE71}">
      <formula1>"genotypic, continuous, categorical"</formula1>
    </dataValidation>
    <dataValidation type="list" allowBlank="1" showInputMessage="1" showErrorMessage="1" sqref="T1:T1048576" xr:uid="{151FCF18-2998-DA47-B94A-A736E718F269}">
      <formula1>"+,-"</formula1>
    </dataValidation>
  </dataValidation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Picard</dc:creator>
  <cp:lastModifiedBy>Lucy Picard</cp:lastModifiedBy>
  <dcterms:created xsi:type="dcterms:W3CDTF">2024-10-22T23:16:40Z</dcterms:created>
  <dcterms:modified xsi:type="dcterms:W3CDTF">2026-04-13T07:53:10Z</dcterms:modified>
</cp:coreProperties>
</file>